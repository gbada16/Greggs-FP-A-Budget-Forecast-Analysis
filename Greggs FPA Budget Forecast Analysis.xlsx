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338756cd5e50ae1e/Documenti/"/>
    </mc:Choice>
  </mc:AlternateContent>
  <xr:revisionPtr revIDLastSave="588" documentId="8_{36B0CCEA-337B-45A9-8210-A6A3DADC6759}" xr6:coauthVersionLast="47" xr6:coauthVersionMax="47" xr10:uidLastSave="{9A1BDB2D-6310-4398-A26D-6C3E2853D4CF}"/>
  <bookViews>
    <workbookView xWindow="-108" yWindow="-108" windowWidth="23256" windowHeight="12456" firstSheet="3" activeTab="6" xr2:uid="{249F7C9D-1F2F-4731-B2E6-32C018C472DA}"/>
  </bookViews>
  <sheets>
    <sheet name="01_Source_Data" sheetId="1" r:id="rId1"/>
    <sheet name="02_Budget" sheetId="2" r:id="rId2"/>
    <sheet name="03_Actual_vs_Budget" sheetId="3" r:id="rId3"/>
    <sheet name="04_Variance_Analysis" sheetId="4" r:id="rId4"/>
    <sheet name="05_Forecast" sheetId="5" r:id="rId5"/>
    <sheet name="06_Dashboard" sheetId="6" r:id="rId6"/>
    <sheet name="07_Management_Commentary"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8" i="5" l="1"/>
  <c r="D7" i="5"/>
  <c r="F10" i="3"/>
  <c r="C31" i="6"/>
  <c r="B31" i="6"/>
  <c r="C30" i="6"/>
  <c r="B30" i="6"/>
  <c r="C29" i="6"/>
  <c r="B29" i="6"/>
  <c r="B21" i="6"/>
  <c r="C21" i="6" s="1"/>
  <c r="B22" i="6"/>
  <c r="C22" i="6" s="1"/>
  <c r="B20" i="6"/>
  <c r="C20" i="6" s="1"/>
  <c r="B10" i="6"/>
  <c r="C9" i="6"/>
  <c r="B9" i="6"/>
  <c r="C8" i="6"/>
  <c r="B8" i="6"/>
  <c r="D4" i="6"/>
  <c r="A4" i="6"/>
  <c r="G5" i="5"/>
  <c r="G6" i="5"/>
  <c r="G4" i="5"/>
  <c r="F7" i="5"/>
  <c r="G7" i="5" s="1"/>
  <c r="B23" i="6" s="1"/>
  <c r="C23" i="6" s="1"/>
  <c r="F5" i="5"/>
  <c r="F6" i="5"/>
  <c r="F4" i="5"/>
  <c r="E5" i="5"/>
  <c r="E6" i="5"/>
  <c r="E7" i="5"/>
  <c r="E8" i="5"/>
  <c r="F8" i="5" s="1"/>
  <c r="G8" i="5" s="1"/>
  <c r="B24" i="6" s="1"/>
  <c r="C24" i="6" s="1"/>
  <c r="E4" i="5"/>
  <c r="C7" i="5"/>
  <c r="C8" i="5"/>
  <c r="C9" i="5"/>
  <c r="C10" i="5"/>
  <c r="D6" i="5"/>
  <c r="D5" i="5"/>
  <c r="D4" i="5"/>
  <c r="C5" i="5"/>
  <c r="C6" i="5"/>
  <c r="C4" i="5"/>
  <c r="B5" i="5"/>
  <c r="B6" i="5"/>
  <c r="B7" i="5"/>
  <c r="B8" i="5"/>
  <c r="B9" i="5"/>
  <c r="B10" i="5"/>
  <c r="B4" i="5"/>
  <c r="E9" i="4"/>
  <c r="C9" i="4"/>
  <c r="D9" i="4"/>
  <c r="F9" i="4"/>
  <c r="B9" i="4"/>
  <c r="E8" i="4"/>
  <c r="C8" i="4"/>
  <c r="D8" i="4"/>
  <c r="F8" i="4"/>
  <c r="B8" i="4"/>
  <c r="D8" i="3"/>
  <c r="E8" i="3" s="1"/>
  <c r="D7" i="3"/>
  <c r="C7" i="4"/>
  <c r="D7" i="4"/>
  <c r="F7" i="4"/>
  <c r="B7" i="4"/>
  <c r="C6" i="4"/>
  <c r="D6" i="4"/>
  <c r="E6" i="4"/>
  <c r="F6" i="4"/>
  <c r="B5" i="4"/>
  <c r="B6" i="4"/>
  <c r="C5" i="4"/>
  <c r="D5" i="4"/>
  <c r="E5" i="4"/>
  <c r="F5" i="4"/>
  <c r="F5" i="3"/>
  <c r="F6" i="3"/>
  <c r="F7" i="3"/>
  <c r="F8" i="3"/>
  <c r="F9" i="3"/>
  <c r="F4" i="3"/>
  <c r="D5" i="3"/>
  <c r="E5" i="3" s="1"/>
  <c r="C4" i="4"/>
  <c r="D4" i="4"/>
  <c r="E4" i="4"/>
  <c r="B4" i="4"/>
  <c r="E6" i="3"/>
  <c r="E7" i="3"/>
  <c r="E7" i="4" s="1"/>
  <c r="E9" i="3"/>
  <c r="E4" i="3"/>
  <c r="D10" i="3"/>
  <c r="D6" i="3"/>
  <c r="D9" i="3"/>
  <c r="D4" i="3"/>
  <c r="C10" i="3"/>
  <c r="C5" i="3"/>
  <c r="C6" i="3"/>
  <c r="C7" i="3"/>
  <c r="C8" i="3"/>
  <c r="C9" i="3"/>
  <c r="C4" i="3"/>
  <c r="B6" i="3"/>
  <c r="B9" i="3"/>
  <c r="B10" i="3" s="1"/>
  <c r="B5" i="3"/>
  <c r="B7" i="3"/>
  <c r="B8" i="3"/>
  <c r="B4" i="3"/>
  <c r="D10" i="2"/>
  <c r="D9" i="2"/>
  <c r="D6" i="2"/>
  <c r="D5" i="2"/>
  <c r="D7" i="2"/>
  <c r="D8" i="2"/>
  <c r="D4" i="2"/>
  <c r="B10" i="2"/>
  <c r="B5" i="2"/>
  <c r="B6" i="2"/>
  <c r="B7" i="2"/>
  <c r="B8" i="2"/>
  <c r="B9" i="2"/>
  <c r="B4" i="2"/>
  <c r="D9" i="5" l="1"/>
  <c r="D10" i="5" s="1"/>
  <c r="F4" i="4"/>
  <c r="E9" i="5" l="1"/>
  <c r="F9" i="5" s="1"/>
  <c r="G9" i="5" s="1"/>
  <c r="B25" i="6" s="1"/>
  <c r="C25" i="6" s="1"/>
  <c r="C10" i="6"/>
  <c r="B4" i="6"/>
  <c r="E10" i="5" l="1"/>
  <c r="C4" i="6" s="1"/>
  <c r="F10" i="5" l="1"/>
</calcChain>
</file>

<file path=xl/sharedStrings.xml><?xml version="1.0" encoding="utf-8"?>
<sst xmlns="http://schemas.openxmlformats.org/spreadsheetml/2006/main" count="132" uniqueCount="77">
  <si>
    <t>Greggs plc – FP&amp;A Budget &amp; Forecast Analysis</t>
  </si>
  <si>
    <t>Metric</t>
  </si>
  <si>
    <t>H1 2025 Actual (£m)</t>
  </si>
  <si>
    <t>FY2025 Actual (£m)</t>
  </si>
  <si>
    <t>H1 2026 Actual (£m)</t>
  </si>
  <si>
    <t>Revenue</t>
  </si>
  <si>
    <t>Cost of Sales</t>
  </si>
  <si>
    <t>Gross Profit</t>
  </si>
  <si>
    <t>Distribution &amp; Selling Costs</t>
  </si>
  <si>
    <t>Administrative Expenses</t>
  </si>
  <si>
    <t>Operating Profit</t>
  </si>
  <si>
    <t>Finance Income</t>
  </si>
  <si>
    <t>Finance Expense</t>
  </si>
  <si>
    <t>Profit Before Tax</t>
  </si>
  <si>
    <t>Operating KPI</t>
  </si>
  <si>
    <t>H1 2026</t>
  </si>
  <si>
    <t>Total Sales Growth</t>
  </si>
  <si>
    <t>Company-managed LFL Sales Growth</t>
  </si>
  <si>
    <t>Franchise LFL Sales Growth</t>
  </si>
  <si>
    <t>Net New Shops</t>
  </si>
  <si>
    <t>Total Shops</t>
  </si>
  <si>
    <t>Structural Cost Savings Delivered</t>
  </si>
  <si>
    <t>£7m</t>
  </si>
  <si>
    <t>Structural Cost Savings FY Target</t>
  </si>
  <si>
    <t>£11m</t>
  </si>
  <si>
    <t>FY2026 Expected Capex</t>
  </si>
  <si>
    <t>£180m</t>
  </si>
  <si>
    <t>Greggs plc – FY2026 Simulated Budget</t>
  </si>
  <si>
    <t>FY2026 Budget Assumption</t>
  </si>
  <si>
    <t>FY2026 Budget (£m)</t>
  </si>
  <si>
    <t>Operating Margin</t>
  </si>
  <si>
    <t xml:space="preserve">Revenue </t>
  </si>
  <si>
    <t>38.5% of Revenue</t>
  </si>
  <si>
    <t>Calculated</t>
  </si>
  <si>
    <t>Greggs plc – H1 2026 Actual vs Budget</t>
  </si>
  <si>
    <t>H1 2026 Budget (£m)</t>
  </si>
  <si>
    <t>Variance (£m)</t>
  </si>
  <si>
    <t>Variance (%)</t>
  </si>
  <si>
    <t>Status</t>
  </si>
  <si>
    <t>N/A</t>
  </si>
  <si>
    <t>Greggs plc – H1 2026 Variance Analysis</t>
  </si>
  <si>
    <t>Budget (£m)</t>
  </si>
  <si>
    <t>Actual (£m)</t>
  </si>
  <si>
    <t>F/U</t>
  </si>
  <si>
    <t>Management Explanation</t>
  </si>
  <si>
    <t>Greggs plc – FY2026 Revised Forecast</t>
  </si>
  <si>
    <t>H2 2026 Forecast (£m)</t>
  </si>
  <si>
    <t>FY2026 Revised Forecast (£m)</t>
  </si>
  <si>
    <t>Forecast vs Budget (£m)</t>
  </si>
  <si>
    <t>Forecast vs Budget (%)</t>
  </si>
  <si>
    <t>Forecast Assumption</t>
  </si>
  <si>
    <t>Value</t>
  </si>
  <si>
    <t>H2 Revenue Growth vs H1</t>
  </si>
  <si>
    <t>H2 Cost of Sales % of Revenue</t>
  </si>
  <si>
    <t xml:space="preserve">H2 Distribution &amp; Selling Cost Growth vs H1     </t>
  </si>
  <si>
    <t xml:space="preserve">H2 Administrative Expense Growth vs H1         </t>
  </si>
  <si>
    <t>Greggs plc – FY2026 FP&amp;A Performance Dashboard</t>
  </si>
  <si>
    <t>Revenue vs Budget</t>
  </si>
  <si>
    <t>FY2026 Budget</t>
  </si>
  <si>
    <t>Revised Forecast</t>
  </si>
  <si>
    <t>Forecast vs Budget</t>
  </si>
  <si>
    <t>H1 Budget</t>
  </si>
  <si>
    <t>H1 Actual</t>
  </si>
  <si>
    <t>Revenue Forecast £m</t>
  </si>
  <si>
    <t>Operating Profit Forecast £m</t>
  </si>
  <si>
    <t>Key Forecast Variances</t>
  </si>
  <si>
    <t>Greggs plc – FY2026 FP&amp;A Management Commentary</t>
  </si>
  <si>
    <t>1. Executive Summary</t>
  </si>
  <si>
    <t>2. H1 2026 Performance vs Budget</t>
  </si>
  <si>
    <t>3. FY2026 Revised Forecast</t>
  </si>
  <si>
    <t>4. Key Risks &amp; Management Actions</t>
  </si>
  <si>
    <t>H1 revenue of £1,101.5m was approximately £38.6m below the simulated budget, despite positive year-on-year sales growth and continued shop expansion. Cost of sales was approximately £20.6m favourable to budget, partially offsetting the revenue shortfall. Distribution and selling costs were also slightly favourable, while administrative expenses were approximately £3.6m above budget. Overall, operating profit of £86.5m was approximately £17.5m below the simulated H1 budget.</t>
  </si>
  <si>
    <t>Greggs delivered positive year-on-year growth in H1 2026, with sales increasing 7.2% and operating profit rising 22.9%. However, against the simulated FP&amp;A budget, H1 revenue was approximately £38.6m below plan and operating profit was approximately £17.5m below plan. Following the H1 performance review, the FY2026 revised forecast indicates revenue of approximately £2,258.1m and operating profit of £189.6m, both below the original simulated budget.</t>
  </si>
  <si>
    <t>Following the H1 review, FY2026 revenue is forecast at approximately £2,258.1m compared with the original simulated budget of £2,280.3m. Operating profit is forecast at approximately £189.6m versus £208.1m budget, representing an unfavourable variance of approximately 8.9%. Operating margin is forecast at approximately 8.40%, below the 9.12% budget margin. The revised forecast therefore indicates continued profitability but weaker performance than originally budgeted.</t>
  </si>
  <si>
    <t>Key risks include weaker-than-budgeted revenue growth, continued cost inflation and higher operating costs associated with Greggs' investment and expansion programme. Management should closely monitor like-for-like sales, shop performance, administrative expenses and operating margin during H2. Continued focus on structural cost savings and operational efficiency could help mitigate margin pressure, while forecast assumptions should be reviewed regularly as new trading information becomes available.</t>
  </si>
  <si>
    <t>Portfolio note: Actual financial information is sourced from Greggs plc's published financial reports. Budget and forecast figures are independently developed assumptions for educational and portfolio purposes and do not represent Greggs plc's internal budgets or forecasts.</t>
  </si>
  <si>
    <t>Budget phasing assumption: H1 budget represents 50% of the simulated FY2026 budget. This simplified phasing assumption is used for portfolio analysis and does not represent Greggs' internal budgeting methodology.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</si>
</sst>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quot;#,##0.0&quot;m&quot;"/>
  </numFmts>
  <fonts count="7" x14ac:knownFonts="1">
    <font>
      <sz val="11"/>
      <color theme="1"/>
      <name val="Aptos Narrow"/>
      <family val="2"/>
      <scheme val="minor"/>
    </font>
    <font>
      <b/>
      <sz val="11"/>
      <color theme="1"/>
      <name val="Aptos Narrow"/>
      <family val="2"/>
      <scheme val="minor"/>
    </font>
    <font>
      <b/>
      <sz val="18"/>
      <color theme="1"/>
      <name val="Aptos Narrow"/>
      <family val="2"/>
      <scheme val="minor"/>
    </font>
    <font>
      <sz val="11"/>
      <color theme="1"/>
      <name val="Aptos Narrow"/>
      <family val="2"/>
      <scheme val="minor"/>
    </font>
    <font>
      <sz val="12"/>
      <color theme="1"/>
      <name val="Aptos Narrow"/>
      <family val="2"/>
      <scheme val="minor"/>
    </font>
    <font>
      <b/>
      <sz val="14"/>
      <color theme="1"/>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0" fontId="0" fillId="0" borderId="0" xfId="0" applyAlignment="1">
      <alignment horizontal="left" vertical="center" indent="1"/>
    </xf>
    <xf numFmtId="0" fontId="2" fillId="0" borderId="0" xfId="0" applyFont="1"/>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64" fontId="0" fillId="0" borderId="0" xfId="0" applyNumberFormat="1" applyAlignment="1">
      <alignment horizontal="right" vertical="center" wrapText="1"/>
    </xf>
    <xf numFmtId="10" fontId="0" fillId="0" borderId="0" xfId="0" applyNumberFormat="1" applyAlignment="1">
      <alignment horizontal="right" vertical="center" wrapText="1"/>
    </xf>
    <xf numFmtId="3" fontId="0" fillId="0" borderId="0" xfId="0" applyNumberFormat="1" applyAlignment="1">
      <alignment horizontal="right" vertical="center" wrapText="1"/>
    </xf>
    <xf numFmtId="165" fontId="0" fillId="0" borderId="0" xfId="0" applyNumberFormat="1" applyAlignment="1">
      <alignment horizontal="right" vertical="center" wrapText="1"/>
    </xf>
    <xf numFmtId="165" fontId="0" fillId="0" borderId="0" xfId="1" applyNumberFormat="1" applyFont="1" applyAlignment="1">
      <alignment horizontal="right" vertical="center" wrapText="1"/>
    </xf>
    <xf numFmtId="0" fontId="1" fillId="0" borderId="0" xfId="0" applyFont="1" applyAlignment="1">
      <alignment vertical="center" wrapText="1"/>
    </xf>
    <xf numFmtId="165" fontId="1" fillId="0" borderId="0" xfId="0" applyNumberFormat="1" applyFont="1" applyAlignment="1">
      <alignment horizontal="right" vertical="center" wrapText="1"/>
    </xf>
    <xf numFmtId="0" fontId="0" fillId="0" borderId="0" xfId="0" applyAlignment="1">
      <alignment wrapText="1"/>
    </xf>
    <xf numFmtId="165" fontId="0" fillId="0" borderId="0" xfId="0" applyNumberFormat="1"/>
    <xf numFmtId="10" fontId="2" fillId="0" borderId="0" xfId="0" applyNumberFormat="1" applyFont="1" applyAlignment="1">
      <alignment vertical="center" wrapText="1"/>
    </xf>
    <xf numFmtId="165" fontId="2" fillId="0" borderId="0" xfId="0" applyNumberFormat="1" applyFont="1" applyAlignment="1">
      <alignment vertical="center" wrapText="1"/>
    </xf>
    <xf numFmtId="0" fontId="5" fillId="0" borderId="0" xfId="0" applyFont="1"/>
    <xf numFmtId="166" fontId="2" fillId="0" borderId="0" xfId="0" applyNumberFormat="1" applyFont="1" applyAlignment="1">
      <alignment vertical="center" wrapText="1"/>
    </xf>
    <xf numFmtId="0" fontId="4" fillId="0" borderId="0" xfId="0" applyFont="1" applyAlignment="1">
      <alignment wrapText="1"/>
    </xf>
    <xf numFmtId="0" fontId="4" fillId="0" borderId="0" xfId="0" applyFont="1" applyAlignment="1">
      <alignment horizontal="left" vertical="top" wrapText="1"/>
    </xf>
    <xf numFmtId="0" fontId="6" fillId="0" borderId="0" xfId="0" applyFont="1" applyAlignment="1">
      <alignment wrapText="1"/>
    </xf>
    <xf numFmtId="0" fontId="2" fillId="0" borderId="0" xfId="0" applyFont="1" applyAlignment="1">
      <alignment wrapText="1"/>
    </xf>
    <xf numFmtId="0" fontId="5" fillId="0" borderId="0" xfId="0" applyFont="1" applyAlignment="1">
      <alignment wrapText="1"/>
    </xf>
    <xf numFmtId="0" fontId="1" fillId="0" borderId="0" xfId="0" applyFont="1" applyAlignment="1">
      <alignment wrapText="1"/>
    </xf>
  </cellXfs>
  <cellStyles count="2">
    <cellStyle name="Normal" xfId="0" builtinId="0"/>
    <cellStyle name="Per cent" xfId="1" builtinId="5"/>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FY2026 Budget vs Revised Forecast (£m)</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3699977317650108"/>
          <c:y val="0.26323851203501097"/>
          <c:w val="0.82527731873022048"/>
          <c:h val="0.39399426822194272"/>
        </c:manualLayout>
      </c:layout>
      <c:barChart>
        <c:barDir val="col"/>
        <c:grouping val="clustered"/>
        <c:varyColors val="0"/>
        <c:ser>
          <c:idx val="0"/>
          <c:order val="0"/>
          <c:tx>
            <c:strRef>
              <c:f>'06_Dashboard'!$B$7</c:f>
              <c:strCache>
                <c:ptCount val="1"/>
                <c:pt idx="0">
                  <c:v>FY2026 Budget</c:v>
                </c:pt>
              </c:strCache>
            </c:strRef>
          </c:tx>
          <c:spPr>
            <a:solidFill>
              <a:schemeClr val="accent1"/>
            </a:solidFill>
            <a:ln>
              <a:noFill/>
            </a:ln>
            <a:effectLst/>
          </c:spPr>
          <c:invertIfNegative val="0"/>
          <c:cat>
            <c:strRef>
              <c:f>'06_Dashboard'!$A$8:$A$10</c:f>
              <c:strCache>
                <c:ptCount val="3"/>
                <c:pt idx="0">
                  <c:v>Revenue</c:v>
                </c:pt>
                <c:pt idx="1">
                  <c:v>Gross Profit</c:v>
                </c:pt>
                <c:pt idx="2">
                  <c:v>Operating Profit</c:v>
                </c:pt>
              </c:strCache>
            </c:strRef>
          </c:cat>
          <c:val>
            <c:numRef>
              <c:f>'06_Dashboard'!$B$8:$B$10</c:f>
              <c:numCache>
                <c:formatCode>0.0</c:formatCode>
                <c:ptCount val="3"/>
                <c:pt idx="0">
                  <c:v>2280.2719999999999</c:v>
                </c:pt>
                <c:pt idx="1">
                  <c:v>1402.3672799999999</c:v>
                </c:pt>
                <c:pt idx="2">
                  <c:v>208.06827999999993</c:v>
                </c:pt>
              </c:numCache>
            </c:numRef>
          </c:val>
          <c:extLst>
            <c:ext xmlns:c16="http://schemas.microsoft.com/office/drawing/2014/chart" uri="{C3380CC4-5D6E-409C-BE32-E72D297353CC}">
              <c16:uniqueId val="{00000000-EA8E-4DAC-BF02-5D50CE94D7DD}"/>
            </c:ext>
          </c:extLst>
        </c:ser>
        <c:ser>
          <c:idx val="1"/>
          <c:order val="1"/>
          <c:tx>
            <c:strRef>
              <c:f>'06_Dashboard'!$C$7</c:f>
              <c:strCache>
                <c:ptCount val="1"/>
                <c:pt idx="0">
                  <c:v>Revised Forecast</c:v>
                </c:pt>
              </c:strCache>
            </c:strRef>
          </c:tx>
          <c:spPr>
            <a:solidFill>
              <a:schemeClr val="accent2"/>
            </a:solidFill>
            <a:ln>
              <a:noFill/>
            </a:ln>
            <a:effectLst/>
          </c:spPr>
          <c:invertIfNegative val="0"/>
          <c:cat>
            <c:strRef>
              <c:f>'06_Dashboard'!$A$8:$A$10</c:f>
              <c:strCache>
                <c:ptCount val="3"/>
                <c:pt idx="0">
                  <c:v>Revenue</c:v>
                </c:pt>
                <c:pt idx="1">
                  <c:v>Gross Profit</c:v>
                </c:pt>
                <c:pt idx="2">
                  <c:v>Operating Profit</c:v>
                </c:pt>
              </c:strCache>
            </c:strRef>
          </c:cat>
          <c:val>
            <c:numRef>
              <c:f>'06_Dashboard'!$C$8:$C$10</c:f>
              <c:numCache>
                <c:formatCode>0.0</c:formatCode>
                <c:ptCount val="3"/>
                <c:pt idx="0">
                  <c:v>2258.0749999999998</c:v>
                </c:pt>
                <c:pt idx="1">
                  <c:v>1400.1765</c:v>
                </c:pt>
                <c:pt idx="2">
                  <c:v>189.64550000000003</c:v>
                </c:pt>
              </c:numCache>
            </c:numRef>
          </c:val>
          <c:extLst>
            <c:ext xmlns:c16="http://schemas.microsoft.com/office/drawing/2014/chart" uri="{C3380CC4-5D6E-409C-BE32-E72D297353CC}">
              <c16:uniqueId val="{00000001-EA8E-4DAC-BF02-5D50CE94D7DD}"/>
            </c:ext>
          </c:extLst>
        </c:ser>
        <c:dLbls>
          <c:showLegendKey val="0"/>
          <c:showVal val="0"/>
          <c:showCatName val="0"/>
          <c:showSerName val="0"/>
          <c:showPercent val="0"/>
          <c:showBubbleSize val="0"/>
        </c:dLbls>
        <c:gapWidth val="219"/>
        <c:overlap val="-27"/>
        <c:axId val="35548479"/>
        <c:axId val="1098501551"/>
      </c:barChart>
      <c:catAx>
        <c:axId val="3554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501551"/>
        <c:crosses val="autoZero"/>
        <c:auto val="1"/>
        <c:lblAlgn val="ctr"/>
        <c:lblOffset val="100"/>
        <c:noMultiLvlLbl val="0"/>
      </c:catAx>
      <c:valAx>
        <c:axId val="10985015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48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H1 2026 Budget vs Actual (£m)</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'06_Dashboard'!$B$28</c:f>
              <c:strCache>
                <c:ptCount val="1"/>
                <c:pt idx="0">
                  <c:v>H1 Budget</c:v>
                </c:pt>
              </c:strCache>
            </c:strRef>
          </c:tx>
          <c:spPr>
            <a:solidFill>
              <a:schemeClr val="accent1"/>
            </a:solidFill>
            <a:ln>
              <a:noFill/>
            </a:ln>
            <a:effectLst/>
          </c:spPr>
          <c:invertIfNegative val="0"/>
          <c:cat>
            <c:strRef>
              <c:f>'06_Dashboard'!$A$29:$A$31</c:f>
              <c:strCache>
                <c:ptCount val="3"/>
                <c:pt idx="0">
                  <c:v>Revenue</c:v>
                </c:pt>
                <c:pt idx="1">
                  <c:v>Gross Profit</c:v>
                </c:pt>
                <c:pt idx="2">
                  <c:v>Operating Profit</c:v>
                </c:pt>
              </c:strCache>
            </c:strRef>
          </c:cat>
          <c:val>
            <c:numRef>
              <c:f>'06_Dashboard'!$B$29:$B$31</c:f>
              <c:numCache>
                <c:formatCode>0.0</c:formatCode>
                <c:ptCount val="3"/>
                <c:pt idx="0">
                  <c:v>1140.136</c:v>
                </c:pt>
                <c:pt idx="1">
                  <c:v>701.18363999999997</c:v>
                </c:pt>
                <c:pt idx="2">
                  <c:v>104.03413999999997</c:v>
                </c:pt>
              </c:numCache>
            </c:numRef>
          </c:val>
          <c:extLst>
            <c:ext xmlns:c16="http://schemas.microsoft.com/office/drawing/2014/chart" uri="{C3380CC4-5D6E-409C-BE32-E72D297353CC}">
              <c16:uniqueId val="{00000000-E2C4-4012-BB54-B5CB954910A5}"/>
            </c:ext>
          </c:extLst>
        </c:ser>
        <c:ser>
          <c:idx val="1"/>
          <c:order val="1"/>
          <c:tx>
            <c:strRef>
              <c:f>'06_Dashboard'!$C$28</c:f>
              <c:strCache>
                <c:ptCount val="1"/>
                <c:pt idx="0">
                  <c:v>H1 Actual</c:v>
                </c:pt>
              </c:strCache>
            </c:strRef>
          </c:tx>
          <c:spPr>
            <a:solidFill>
              <a:schemeClr val="accent2"/>
            </a:solidFill>
            <a:ln>
              <a:noFill/>
            </a:ln>
            <a:effectLst/>
          </c:spPr>
          <c:invertIfNegative val="0"/>
          <c:cat>
            <c:strRef>
              <c:f>'06_Dashboard'!$A$29:$A$31</c:f>
              <c:strCache>
                <c:ptCount val="3"/>
                <c:pt idx="0">
                  <c:v>Revenue</c:v>
                </c:pt>
                <c:pt idx="1">
                  <c:v>Gross Profit</c:v>
                </c:pt>
                <c:pt idx="2">
                  <c:v>Operating Profit</c:v>
                </c:pt>
              </c:strCache>
            </c:strRef>
          </c:cat>
          <c:val>
            <c:numRef>
              <c:f>'06_Dashboard'!$C$29:$C$31</c:f>
              <c:numCache>
                <c:formatCode>0.0</c:formatCode>
                <c:ptCount val="3"/>
                <c:pt idx="0">
                  <c:v>1101.5</c:v>
                </c:pt>
                <c:pt idx="1">
                  <c:v>683.1</c:v>
                </c:pt>
                <c:pt idx="2">
                  <c:v>86.5</c:v>
                </c:pt>
              </c:numCache>
            </c:numRef>
          </c:val>
          <c:extLst>
            <c:ext xmlns:c16="http://schemas.microsoft.com/office/drawing/2014/chart" uri="{C3380CC4-5D6E-409C-BE32-E72D297353CC}">
              <c16:uniqueId val="{00000001-E2C4-4012-BB54-B5CB954910A5}"/>
            </c:ext>
          </c:extLst>
        </c:ser>
        <c:dLbls>
          <c:showLegendKey val="0"/>
          <c:showVal val="0"/>
          <c:showCatName val="0"/>
          <c:showSerName val="0"/>
          <c:showPercent val="0"/>
          <c:showBubbleSize val="0"/>
        </c:dLbls>
        <c:gapWidth val="219"/>
        <c:overlap val="-27"/>
        <c:axId val="1200524255"/>
        <c:axId val="1098607151"/>
      </c:barChart>
      <c:catAx>
        <c:axId val="120052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607151"/>
        <c:crosses val="autoZero"/>
        <c:auto val="1"/>
        <c:lblAlgn val="ctr"/>
        <c:lblOffset val="100"/>
        <c:noMultiLvlLbl val="0"/>
      </c:catAx>
      <c:valAx>
        <c:axId val="10986071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524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50073</xdr:colOff>
      <xdr:row>25</xdr:row>
      <xdr:rowOff>156754</xdr:rowOff>
    </xdr:from>
    <xdr:ext cx="8538756" cy="1125693"/>
    <xdr:sp macro="" textlink="">
      <xdr:nvSpPr>
        <xdr:cNvPr id="2" name="TextBox 1">
          <a:extLst>
            <a:ext uri="{FF2B5EF4-FFF2-40B4-BE49-F238E27FC236}">
              <a16:creationId xmlns:a16="http://schemas.microsoft.com/office/drawing/2014/main" id="{86CDAFFE-3BE8-35AB-559B-A9B3AA9849CE}"/>
            </a:ext>
          </a:extLst>
        </xdr:cNvPr>
        <xdr:cNvSpPr txBox="1"/>
      </xdr:nvSpPr>
      <xdr:spPr>
        <a:xfrm>
          <a:off x="50073" y="7090954"/>
          <a:ext cx="8538756"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b="1"/>
            <a:t>Source Notes</a:t>
          </a:r>
          <a:endParaRPr lang="en-GB"/>
        </a:p>
        <a:p>
          <a:r>
            <a:rPr lang="en-GB"/>
            <a:t>Greggs plc Annual Report and Accounts 2025</a:t>
          </a:r>
          <a:br>
            <a:rPr lang="en-GB"/>
          </a:br>
          <a:r>
            <a:rPr lang="en-GB"/>
            <a:t>Greggs plc Interim Results for the 26 weeks ended 27 June 2026</a:t>
          </a:r>
          <a:br>
            <a:rPr lang="en-GB"/>
          </a:br>
          <a:r>
            <a:rPr lang="en-GB"/>
            <a:t>Actual financial information is sourced from Greggs' published reports. Budget and forecast figures used elsewhere in this project are independently developed assumptions for portfolio/educational purposes and do not represent Greggs' internal budgets or forecasts.</a:t>
          </a:r>
        </a:p>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838200</xdr:colOff>
      <xdr:row>2</xdr:row>
      <xdr:rowOff>220980</xdr:rowOff>
    </xdr:from>
    <xdr:ext cx="13071335" cy="264560"/>
    <xdr:sp macro="" textlink="">
      <xdr:nvSpPr>
        <xdr:cNvPr id="2" name="TextBox 1">
          <a:extLst>
            <a:ext uri="{FF2B5EF4-FFF2-40B4-BE49-F238E27FC236}">
              <a16:creationId xmlns:a16="http://schemas.microsoft.com/office/drawing/2014/main" id="{379DC1A4-B461-510F-5478-C7D8602B6DF0}"/>
            </a:ext>
          </a:extLst>
        </xdr:cNvPr>
        <xdr:cNvSpPr txBox="1"/>
      </xdr:nvSpPr>
      <xdr:spPr>
        <a:xfrm>
          <a:off x="5372100" y="701040"/>
          <a:ext cx="130713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Revenue was below the simulated H1 budget by approximately £38.6m. Despite the shortfall versus budget, reported sales increased 7.2% year-on-year, supported by continued shop expansion and positive like-for-like sales growth.</a:t>
          </a:r>
        </a:p>
      </xdr:txBody>
    </xdr:sp>
    <xdr:clientData/>
  </xdr:oneCellAnchor>
  <xdr:oneCellAnchor>
    <xdr:from>
      <xdr:col>5</xdr:col>
      <xdr:colOff>838200</xdr:colOff>
      <xdr:row>3</xdr:row>
      <xdr:rowOff>137160</xdr:rowOff>
    </xdr:from>
    <xdr:ext cx="13425470" cy="264560"/>
    <xdr:sp macro="" textlink="">
      <xdr:nvSpPr>
        <xdr:cNvPr id="3" name="TextBox 2">
          <a:extLst>
            <a:ext uri="{FF2B5EF4-FFF2-40B4-BE49-F238E27FC236}">
              <a16:creationId xmlns:a16="http://schemas.microsoft.com/office/drawing/2014/main" id="{A1C7D82F-6E9D-F1B4-16A7-CC1E7352FA11}"/>
            </a:ext>
          </a:extLst>
        </xdr:cNvPr>
        <xdr:cNvSpPr txBox="1"/>
      </xdr:nvSpPr>
      <xdr:spPr>
        <a:xfrm>
          <a:off x="5372100" y="876300"/>
          <a:ext cx="134254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a:t>Cost of Sales was approximately £20.6m below budget, resulting in a favourable variance. Greggs reported cost inflation of 2.2% in H1 2026, while ongoing cost management and procurement actions helped manage inflationary pressures.</a:t>
          </a:r>
          <a:endParaRPr lang="en-GB" sz="1100"/>
        </a:p>
      </xdr:txBody>
    </xdr:sp>
    <xdr:clientData/>
  </xdr:oneCellAnchor>
  <xdr:oneCellAnchor>
    <xdr:from>
      <xdr:col>5</xdr:col>
      <xdr:colOff>838200</xdr:colOff>
      <xdr:row>4</xdr:row>
      <xdr:rowOff>144780</xdr:rowOff>
    </xdr:from>
    <xdr:ext cx="11302646" cy="264560"/>
    <xdr:sp macro="" textlink="">
      <xdr:nvSpPr>
        <xdr:cNvPr id="4" name="TextBox 3">
          <a:extLst>
            <a:ext uri="{FF2B5EF4-FFF2-40B4-BE49-F238E27FC236}">
              <a16:creationId xmlns:a16="http://schemas.microsoft.com/office/drawing/2014/main" id="{71944C1C-A7E2-714F-4DDF-DF6F64BD8F0D}"/>
            </a:ext>
          </a:extLst>
        </xdr:cNvPr>
        <xdr:cNvSpPr txBox="1"/>
      </xdr:nvSpPr>
      <xdr:spPr>
        <a:xfrm>
          <a:off x="5372100" y="1066800"/>
          <a:ext cx="113026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a:t>Gross profit was approximately £18.1m below budget. The favourable cost of sales variance partially offset the revenue shortfall, but was insufficient to prevent gross profit from finishing below budget.</a:t>
          </a:r>
          <a:endParaRPr lang="en-GB" sz="1100"/>
        </a:p>
      </xdr:txBody>
    </xdr:sp>
    <xdr:clientData/>
  </xdr:oneCellAnchor>
  <xdr:oneCellAnchor>
    <xdr:from>
      <xdr:col>6</xdr:col>
      <xdr:colOff>7620</xdr:colOff>
      <xdr:row>6</xdr:row>
      <xdr:rowOff>68580</xdr:rowOff>
    </xdr:from>
    <xdr:ext cx="14488775" cy="264560"/>
    <xdr:sp macro="" textlink="">
      <xdr:nvSpPr>
        <xdr:cNvPr id="5" name="TextBox 4">
          <a:extLst>
            <a:ext uri="{FF2B5EF4-FFF2-40B4-BE49-F238E27FC236}">
              <a16:creationId xmlns:a16="http://schemas.microsoft.com/office/drawing/2014/main" id="{D578CB94-2A5A-130B-3DD7-790675E6EC58}"/>
            </a:ext>
          </a:extLst>
        </xdr:cNvPr>
        <xdr:cNvSpPr txBox="1"/>
      </xdr:nvSpPr>
      <xdr:spPr>
        <a:xfrm>
          <a:off x="5387340" y="1356360"/>
          <a:ext cx="144887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a:t>Distribution and selling costs were approximately £4.2m below budget, resulting in a small favourable variance. Greggs continued expanding its estate during H1 2026, while cost-saving and operational efficiency initiatives helped control the wider cost base.</a:t>
          </a:r>
          <a:endParaRPr lang="en-GB" sz="1100"/>
        </a:p>
      </xdr:txBody>
    </xdr:sp>
    <xdr:clientData/>
  </xdr:oneCellAnchor>
  <xdr:oneCellAnchor>
    <xdr:from>
      <xdr:col>6</xdr:col>
      <xdr:colOff>7620</xdr:colOff>
      <xdr:row>7</xdr:row>
      <xdr:rowOff>22860</xdr:rowOff>
    </xdr:from>
    <xdr:ext cx="14773788" cy="264560"/>
    <xdr:sp macro="" textlink="">
      <xdr:nvSpPr>
        <xdr:cNvPr id="6" name="TextBox 5">
          <a:extLst>
            <a:ext uri="{FF2B5EF4-FFF2-40B4-BE49-F238E27FC236}">
              <a16:creationId xmlns:a16="http://schemas.microsoft.com/office/drawing/2014/main" id="{E1145999-8B81-567C-B03F-7698261A75DE}"/>
            </a:ext>
          </a:extLst>
        </xdr:cNvPr>
        <xdr:cNvSpPr txBox="1"/>
      </xdr:nvSpPr>
      <xdr:spPr>
        <a:xfrm>
          <a:off x="5387340" y="1699260"/>
          <a:ext cx="147737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a:t>Administrative expenses were approximately £3.6m above budget, resulting in an unfavourable variance. This indicates that overhead costs were higher than assumed in the simulated budget, partially offsetting favourable performance elsewhere in the cost base.</a:t>
          </a:r>
          <a:endParaRPr lang="en-GB" sz="1100"/>
        </a:p>
      </xdr:txBody>
    </xdr:sp>
    <xdr:clientData/>
  </xdr:oneCellAnchor>
  <xdr:oneCellAnchor>
    <xdr:from>
      <xdr:col>5</xdr:col>
      <xdr:colOff>830580</xdr:colOff>
      <xdr:row>8</xdr:row>
      <xdr:rowOff>0</xdr:rowOff>
    </xdr:from>
    <xdr:ext cx="14226843" cy="264560"/>
    <xdr:sp macro="" textlink="">
      <xdr:nvSpPr>
        <xdr:cNvPr id="7" name="TextBox 6">
          <a:extLst>
            <a:ext uri="{FF2B5EF4-FFF2-40B4-BE49-F238E27FC236}">
              <a16:creationId xmlns:a16="http://schemas.microsoft.com/office/drawing/2014/main" id="{EF37C975-00AB-B67B-9AD9-7064D65C60A9}"/>
            </a:ext>
          </a:extLst>
        </xdr:cNvPr>
        <xdr:cNvSpPr txBox="1"/>
      </xdr:nvSpPr>
      <xdr:spPr>
        <a:xfrm>
          <a:off x="5364480" y="2026920"/>
          <a:ext cx="1422684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a:t>Operating profit was approximately £17.5m below budget. The revenue and administrative expense variances outweighed favourable cost of sales and distribution and selling cost performance, resulting in operating profit below the simulated H1 budget.</a:t>
          </a:r>
          <a:endParaRPr lang="en-GB" sz="1100"/>
        </a:p>
      </xdr:txBody>
    </xdr:sp>
    <xdr:clientData/>
  </xdr:oneCellAnchor>
  <xdr:oneCellAnchor>
    <xdr:from>
      <xdr:col>0</xdr:col>
      <xdr:colOff>0</xdr:colOff>
      <xdr:row>10</xdr:row>
      <xdr:rowOff>106680</xdr:rowOff>
    </xdr:from>
    <xdr:ext cx="5319918" cy="483722"/>
    <xdr:sp macro="" textlink="">
      <xdr:nvSpPr>
        <xdr:cNvPr id="8" name="TextBox 7">
          <a:extLst>
            <a:ext uri="{FF2B5EF4-FFF2-40B4-BE49-F238E27FC236}">
              <a16:creationId xmlns:a16="http://schemas.microsoft.com/office/drawing/2014/main" id="{89A8EECD-9C8A-732D-9D2C-2E341FB4C7C4}"/>
            </a:ext>
          </a:extLst>
        </xdr:cNvPr>
        <xdr:cNvSpPr txBox="1"/>
      </xdr:nvSpPr>
      <xdr:spPr>
        <a:xfrm>
          <a:off x="0" y="2590800"/>
          <a:ext cx="5319918"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t>Conclusion</a:t>
          </a:r>
        </a:p>
        <a:p>
          <a:r>
            <a:rPr lang="en-GB"/>
            <a:t>Profit improved strongly year-on-year, but fell short of our more ambitious simulated budget.</a:t>
          </a:r>
          <a:endParaRPr lang="en-GB"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xdr:col>
      <xdr:colOff>804950</xdr:colOff>
      <xdr:row>6</xdr:row>
      <xdr:rowOff>29441</xdr:rowOff>
    </xdr:from>
    <xdr:to>
      <xdr:col>9</xdr:col>
      <xdr:colOff>115685</xdr:colOff>
      <xdr:row>14</xdr:row>
      <xdr:rowOff>124691</xdr:rowOff>
    </xdr:to>
    <xdr:graphicFrame macro="">
      <xdr:nvGraphicFramePr>
        <xdr:cNvPr id="2" name="Chart 1">
          <a:extLst>
            <a:ext uri="{FF2B5EF4-FFF2-40B4-BE49-F238E27FC236}">
              <a16:creationId xmlns:a16="http://schemas.microsoft.com/office/drawing/2014/main" id="{5135CC80-CB1D-A0C6-1E23-A7122FECA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930342</xdr:colOff>
      <xdr:row>22</xdr:row>
      <xdr:rowOff>258180</xdr:rowOff>
    </xdr:from>
    <xdr:to>
      <xdr:col>9</xdr:col>
      <xdr:colOff>197393</xdr:colOff>
      <xdr:row>34</xdr:row>
      <xdr:rowOff>56348</xdr:rowOff>
    </xdr:to>
    <xdr:graphicFrame macro="">
      <xdr:nvGraphicFramePr>
        <xdr:cNvPr id="3" name="Chart 2">
          <a:extLst>
            <a:ext uri="{FF2B5EF4-FFF2-40B4-BE49-F238E27FC236}">
              <a16:creationId xmlns:a16="http://schemas.microsoft.com/office/drawing/2014/main" id="{EDB97B64-42E6-64E2-714E-8A0694618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22860</xdr:colOff>
      <xdr:row>6</xdr:row>
      <xdr:rowOff>137160</xdr:rowOff>
    </xdr:from>
    <xdr:ext cx="184731" cy="264560"/>
    <xdr:sp macro="" textlink="">
      <xdr:nvSpPr>
        <xdr:cNvPr id="3" name="TextBox 2">
          <a:extLst>
            <a:ext uri="{FF2B5EF4-FFF2-40B4-BE49-F238E27FC236}">
              <a16:creationId xmlns:a16="http://schemas.microsoft.com/office/drawing/2014/main" id="{8C945352-6086-96A0-9A69-E96026D4C6B5}"/>
            </a:ext>
          </a:extLst>
        </xdr:cNvPr>
        <xdr:cNvSpPr txBox="1"/>
      </xdr:nvSpPr>
      <xdr:spPr>
        <a:xfrm>
          <a:off x="632460" y="2446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4A9B-14C9-4572-804B-FDA47BB62C3C}">
  <dimension ref="A1:D24"/>
  <sheetViews>
    <sheetView zoomScale="70" zoomScaleNormal="70" workbookViewId="0"/>
  </sheetViews>
  <sheetFormatPr defaultRowHeight="14.4" x14ac:dyDescent="0.3"/>
  <cols>
    <col min="1" max="1" width="17.6640625" customWidth="1"/>
    <col min="2" max="2" width="20.109375" customWidth="1"/>
    <col min="3" max="3" width="19" customWidth="1"/>
    <col min="4" max="4" width="18.44140625" customWidth="1"/>
  </cols>
  <sheetData>
    <row r="1" spans="1:4" ht="23.4" x14ac:dyDescent="0.45">
      <c r="A1" s="2" t="s">
        <v>0</v>
      </c>
    </row>
    <row r="2" spans="1:4" x14ac:dyDescent="0.3">
      <c r="A2" s="1"/>
    </row>
    <row r="3" spans="1:4" ht="22.2" customHeight="1" x14ac:dyDescent="0.3">
      <c r="A3" s="3" t="s">
        <v>1</v>
      </c>
      <c r="B3" s="5" t="s">
        <v>2</v>
      </c>
      <c r="C3" s="5" t="s">
        <v>3</v>
      </c>
      <c r="D3" s="5" t="s">
        <v>4</v>
      </c>
    </row>
    <row r="4" spans="1:4" x14ac:dyDescent="0.3">
      <c r="A4" s="6" t="s">
        <v>5</v>
      </c>
      <c r="B4" s="7">
        <v>1027.7</v>
      </c>
      <c r="C4" s="7">
        <v>2151.1999999999998</v>
      </c>
      <c r="D4" s="7">
        <v>1101.5</v>
      </c>
    </row>
    <row r="5" spans="1:4" ht="22.2" customHeight="1" x14ac:dyDescent="0.3">
      <c r="A5" s="6" t="s">
        <v>6</v>
      </c>
      <c r="B5" s="7">
        <v>396</v>
      </c>
      <c r="C5" s="7">
        <v>829.1</v>
      </c>
      <c r="D5" s="7">
        <v>418.4</v>
      </c>
    </row>
    <row r="6" spans="1:4" x14ac:dyDescent="0.3">
      <c r="A6" s="6" t="s">
        <v>7</v>
      </c>
      <c r="B6" s="7">
        <v>631.70000000000005</v>
      </c>
      <c r="C6" s="7">
        <v>1322.1</v>
      </c>
      <c r="D6" s="7">
        <v>683.1</v>
      </c>
    </row>
    <row r="7" spans="1:4" ht="39" customHeight="1" x14ac:dyDescent="0.3">
      <c r="A7" s="6" t="s">
        <v>8</v>
      </c>
      <c r="B7" s="7">
        <v>510.8</v>
      </c>
      <c r="C7" s="7">
        <v>1036.3</v>
      </c>
      <c r="D7" s="7">
        <v>539.9</v>
      </c>
    </row>
    <row r="8" spans="1:4" ht="31.2" customHeight="1" x14ac:dyDescent="0.3">
      <c r="A8" s="6" t="s">
        <v>9</v>
      </c>
      <c r="B8" s="7">
        <v>50.5</v>
      </c>
      <c r="C8" s="7">
        <v>102.1</v>
      </c>
      <c r="D8" s="7">
        <v>56.7</v>
      </c>
    </row>
    <row r="9" spans="1:4" x14ac:dyDescent="0.3">
      <c r="A9" s="6" t="s">
        <v>10</v>
      </c>
      <c r="B9" s="7">
        <v>70.400000000000006</v>
      </c>
      <c r="C9" s="7">
        <v>183.7</v>
      </c>
      <c r="D9" s="7">
        <v>86.5</v>
      </c>
    </row>
    <row r="10" spans="1:4" x14ac:dyDescent="0.3">
      <c r="A10" s="6" t="s">
        <v>11</v>
      </c>
      <c r="B10" s="7">
        <v>1.3</v>
      </c>
      <c r="C10" s="7">
        <v>1.8</v>
      </c>
      <c r="D10" s="7">
        <v>0.8</v>
      </c>
    </row>
    <row r="11" spans="1:4" x14ac:dyDescent="0.3">
      <c r="A11" s="6" t="s">
        <v>12</v>
      </c>
      <c r="B11" s="7">
        <v>8.1999999999999993</v>
      </c>
      <c r="C11" s="7">
        <v>18.100000000000001</v>
      </c>
      <c r="D11" s="7">
        <v>11.3</v>
      </c>
    </row>
    <row r="12" spans="1:4" ht="30.6" customHeight="1" x14ac:dyDescent="0.3">
      <c r="A12" s="6" t="s">
        <v>13</v>
      </c>
      <c r="B12" s="7">
        <v>63.5</v>
      </c>
      <c r="C12" s="7">
        <v>167.4</v>
      </c>
      <c r="D12" s="7">
        <v>76</v>
      </c>
    </row>
    <row r="16" spans="1:4" x14ac:dyDescent="0.3">
      <c r="A16" s="3" t="s">
        <v>14</v>
      </c>
      <c r="B16" s="5" t="s">
        <v>15</v>
      </c>
    </row>
    <row r="17" spans="1:2" x14ac:dyDescent="0.3">
      <c r="A17" s="6" t="s">
        <v>16</v>
      </c>
      <c r="B17" s="10">
        <v>7.1999999999999995E-2</v>
      </c>
    </row>
    <row r="18" spans="1:2" ht="28.8" x14ac:dyDescent="0.3">
      <c r="A18" s="6" t="s">
        <v>17</v>
      </c>
      <c r="B18" s="10">
        <v>2.1000000000000001E-2</v>
      </c>
    </row>
    <row r="19" spans="1:2" ht="28.8" x14ac:dyDescent="0.3">
      <c r="A19" s="6" t="s">
        <v>18</v>
      </c>
      <c r="B19" s="10">
        <v>1.2999999999999999E-2</v>
      </c>
    </row>
    <row r="20" spans="1:2" x14ac:dyDescent="0.3">
      <c r="A20" s="6" t="s">
        <v>19</v>
      </c>
      <c r="B20" s="4">
        <v>34</v>
      </c>
    </row>
    <row r="21" spans="1:2" x14ac:dyDescent="0.3">
      <c r="A21" s="6" t="s">
        <v>20</v>
      </c>
      <c r="B21" s="9">
        <v>2773</v>
      </c>
    </row>
    <row r="22" spans="1:2" ht="28.8" x14ac:dyDescent="0.3">
      <c r="A22" s="6" t="s">
        <v>21</v>
      </c>
      <c r="B22" s="4" t="s">
        <v>22</v>
      </c>
    </row>
    <row r="23" spans="1:2" ht="28.8" x14ac:dyDescent="0.3">
      <c r="A23" s="6" t="s">
        <v>23</v>
      </c>
      <c r="B23" s="4" t="s">
        <v>24</v>
      </c>
    </row>
    <row r="24" spans="1:2" ht="28.8" x14ac:dyDescent="0.3">
      <c r="A24" s="6" t="s">
        <v>25</v>
      </c>
      <c r="B24" s="4" t="s">
        <v>26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8DB6D-A510-48ED-9F7A-1AF91D589C33}">
  <dimension ref="A1:D10"/>
  <sheetViews>
    <sheetView workbookViewId="0">
      <selection activeCell="D10" sqref="D10"/>
    </sheetView>
  </sheetViews>
  <sheetFormatPr defaultRowHeight="14.4" x14ac:dyDescent="0.3"/>
  <cols>
    <col min="1" max="1" width="17.109375" customWidth="1"/>
    <col min="2" max="2" width="26.88671875" customWidth="1"/>
    <col min="3" max="3" width="20.77734375" customWidth="1"/>
    <col min="4" max="4" width="23.109375" customWidth="1"/>
  </cols>
  <sheetData>
    <row r="1" spans="1:4" ht="23.4" x14ac:dyDescent="0.45">
      <c r="A1" s="2" t="s">
        <v>27</v>
      </c>
    </row>
    <row r="3" spans="1:4" ht="28.8" customHeight="1" x14ac:dyDescent="0.3">
      <c r="A3" s="3" t="s">
        <v>1</v>
      </c>
      <c r="B3" s="5" t="s">
        <v>3</v>
      </c>
      <c r="C3" s="5" t="s">
        <v>28</v>
      </c>
      <c r="D3" s="5" t="s">
        <v>29</v>
      </c>
    </row>
    <row r="4" spans="1:4" x14ac:dyDescent="0.3">
      <c r="A4" s="6" t="s">
        <v>31</v>
      </c>
      <c r="B4" s="4">
        <f>'01_Source_Data'!C4</f>
        <v>2151.1999999999998</v>
      </c>
      <c r="C4" s="10">
        <v>0.06</v>
      </c>
      <c r="D4" s="7">
        <f>B4*(1+C4)</f>
        <v>2280.2719999999999</v>
      </c>
    </row>
    <row r="5" spans="1:4" ht="22.2" customHeight="1" x14ac:dyDescent="0.3">
      <c r="A5" s="6" t="s">
        <v>6</v>
      </c>
      <c r="B5" s="4">
        <f>'01_Source_Data'!C5</f>
        <v>829.1</v>
      </c>
      <c r="C5" s="10" t="s">
        <v>32</v>
      </c>
      <c r="D5" s="7">
        <f>D4*38.5%</f>
        <v>877.90472</v>
      </c>
    </row>
    <row r="6" spans="1:4" ht="20.399999999999999" customHeight="1" x14ac:dyDescent="0.3">
      <c r="A6" s="6" t="s">
        <v>7</v>
      </c>
      <c r="B6" s="4">
        <f>'01_Source_Data'!C6</f>
        <v>1322.1</v>
      </c>
      <c r="C6" s="10" t="s">
        <v>33</v>
      </c>
      <c r="D6" s="7">
        <f>D4-D5</f>
        <v>1402.3672799999999</v>
      </c>
    </row>
    <row r="7" spans="1:4" ht="24.6" customHeight="1" x14ac:dyDescent="0.3">
      <c r="A7" s="6" t="s">
        <v>8</v>
      </c>
      <c r="B7" s="4">
        <f>'01_Source_Data'!C7</f>
        <v>1036.3</v>
      </c>
      <c r="C7" s="10">
        <v>0.05</v>
      </c>
      <c r="D7" s="7">
        <f t="shared" ref="D7:D8" si="0">B7*(1+C7)</f>
        <v>1088.115</v>
      </c>
    </row>
    <row r="8" spans="1:4" ht="28.8" customHeight="1" x14ac:dyDescent="0.3">
      <c r="A8" s="6" t="s">
        <v>9</v>
      </c>
      <c r="B8" s="4">
        <f>'01_Source_Data'!C8</f>
        <v>102.1</v>
      </c>
      <c r="C8" s="10">
        <v>0.04</v>
      </c>
      <c r="D8" s="7">
        <f t="shared" si="0"/>
        <v>106.184</v>
      </c>
    </row>
    <row r="9" spans="1:4" ht="19.8" customHeight="1" x14ac:dyDescent="0.3">
      <c r="A9" s="6" t="s">
        <v>10</v>
      </c>
      <c r="B9" s="4">
        <f>'01_Source_Data'!C9</f>
        <v>183.7</v>
      </c>
      <c r="C9" s="10" t="s">
        <v>33</v>
      </c>
      <c r="D9" s="7">
        <f>D6-D7-D8</f>
        <v>208.06827999999993</v>
      </c>
    </row>
    <row r="10" spans="1:4" ht="17.399999999999999" customHeight="1" x14ac:dyDescent="0.3">
      <c r="A10" s="6" t="s">
        <v>30</v>
      </c>
      <c r="B10" s="8">
        <f>B9/B4</f>
        <v>8.5394198586835252E-2</v>
      </c>
      <c r="C10" s="10" t="s">
        <v>33</v>
      </c>
      <c r="D10" s="8">
        <f>D9/D4</f>
        <v>9.1247131921104119E-2</v>
      </c>
    </row>
  </sheetData>
  <pageMargins left="0.7" right="0.7" top="0.75" bottom="0.75" header="0.3" footer="0.3"/>
  <ignoredErrors>
    <ignoredError sqref="D5 D9"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3B9AF-3E74-448F-BE8C-27A6AD61AED7}">
  <dimension ref="A1:F14"/>
  <sheetViews>
    <sheetView workbookViewId="0">
      <selection activeCell="A14" sqref="A14"/>
    </sheetView>
  </sheetViews>
  <sheetFormatPr defaultRowHeight="14.4" x14ac:dyDescent="0.3"/>
  <cols>
    <col min="1" max="1" width="28.21875" customWidth="1"/>
    <col min="2" max="2" width="18.5546875" customWidth="1"/>
    <col min="3" max="3" width="19.21875" customWidth="1"/>
    <col min="4" max="4" width="14" customWidth="1"/>
    <col min="5" max="5" width="12.33203125" customWidth="1"/>
    <col min="6" max="6" width="11.6640625" customWidth="1"/>
  </cols>
  <sheetData>
    <row r="1" spans="1:6" ht="23.4" x14ac:dyDescent="0.45">
      <c r="A1" s="2" t="s">
        <v>34</v>
      </c>
    </row>
    <row r="3" spans="1:6" ht="31.8" customHeight="1" x14ac:dyDescent="0.3">
      <c r="A3" s="3" t="s">
        <v>1</v>
      </c>
      <c r="B3" s="5" t="s">
        <v>35</v>
      </c>
      <c r="C3" s="5" t="s">
        <v>4</v>
      </c>
      <c r="D3" s="5" t="s">
        <v>36</v>
      </c>
      <c r="E3" s="5" t="s">
        <v>37</v>
      </c>
      <c r="F3" s="3" t="s">
        <v>38</v>
      </c>
    </row>
    <row r="4" spans="1:6" x14ac:dyDescent="0.3">
      <c r="A4" s="6" t="s">
        <v>5</v>
      </c>
      <c r="B4" s="7">
        <f>'02_Budget'!D4/2</f>
        <v>1140.136</v>
      </c>
      <c r="C4" s="4">
        <f>'01_Source_Data'!D4</f>
        <v>1101.5</v>
      </c>
      <c r="D4" s="7">
        <f>C4-B4</f>
        <v>-38.635999999999967</v>
      </c>
      <c r="E4" s="10">
        <f>D4/B4</f>
        <v>-3.3887185388409777E-2</v>
      </c>
      <c r="F4" s="6" t="str">
        <f>IF(D4&gt;0,"Favourable",IF(D4&lt;0,"Unfavourable","On Budget"))</f>
        <v>Unfavourable</v>
      </c>
    </row>
    <row r="5" spans="1:6" x14ac:dyDescent="0.3">
      <c r="A5" s="6" t="s">
        <v>6</v>
      </c>
      <c r="B5" s="7">
        <f>'02_Budget'!D5/2</f>
        <v>438.95236</v>
      </c>
      <c r="C5" s="4">
        <f>'01_Source_Data'!D5</f>
        <v>418.4</v>
      </c>
      <c r="D5" s="7">
        <f>B5-C5</f>
        <v>20.552360000000022</v>
      </c>
      <c r="E5" s="10">
        <f t="shared" ref="E5:E9" si="0">D5/B5</f>
        <v>4.6821390822457412E-2</v>
      </c>
      <c r="F5" s="6" t="str">
        <f t="shared" ref="F5:F9" si="1">IF(D5&gt;0,"Favourable",IF(D5&lt;0,"Unfavourable","On Budget"))</f>
        <v>Favourable</v>
      </c>
    </row>
    <row r="6" spans="1:6" x14ac:dyDescent="0.3">
      <c r="A6" s="6" t="s">
        <v>7</v>
      </c>
      <c r="B6" s="7">
        <f>B4-B5</f>
        <v>701.18363999999997</v>
      </c>
      <c r="C6" s="4">
        <f>'01_Source_Data'!D6</f>
        <v>683.1</v>
      </c>
      <c r="D6" s="7">
        <f t="shared" ref="D6:D9" si="2">C6-B6</f>
        <v>-18.083639999999946</v>
      </c>
      <c r="E6" s="10">
        <f t="shared" si="0"/>
        <v>-2.5790162474412476E-2</v>
      </c>
      <c r="F6" s="6" t="str">
        <f t="shared" si="1"/>
        <v>Unfavourable</v>
      </c>
    </row>
    <row r="7" spans="1:6" ht="28.8" x14ac:dyDescent="0.3">
      <c r="A7" s="6" t="s">
        <v>8</v>
      </c>
      <c r="B7" s="7">
        <f>'02_Budget'!D7/2</f>
        <v>544.0575</v>
      </c>
      <c r="C7" s="4">
        <f>'01_Source_Data'!D7</f>
        <v>539.9</v>
      </c>
      <c r="D7" s="7">
        <f>B7-C7</f>
        <v>4.1575000000000273</v>
      </c>
      <c r="E7" s="10">
        <f t="shared" si="0"/>
        <v>7.6416555235430577E-3</v>
      </c>
      <c r="F7" s="6" t="str">
        <f t="shared" si="1"/>
        <v>Favourable</v>
      </c>
    </row>
    <row r="8" spans="1:6" ht="28.8" x14ac:dyDescent="0.3">
      <c r="A8" s="6" t="s">
        <v>9</v>
      </c>
      <c r="B8" s="7">
        <f>'02_Budget'!D8/2</f>
        <v>53.091999999999999</v>
      </c>
      <c r="C8" s="4">
        <f>'01_Source_Data'!D8</f>
        <v>56.7</v>
      </c>
      <c r="D8" s="7">
        <f>B8-C8</f>
        <v>-3.6080000000000041</v>
      </c>
      <c r="E8" s="10">
        <f t="shared" si="0"/>
        <v>-6.7957507722444133E-2</v>
      </c>
      <c r="F8" s="6" t="str">
        <f t="shared" si="1"/>
        <v>Unfavourable</v>
      </c>
    </row>
    <row r="9" spans="1:6" x14ac:dyDescent="0.3">
      <c r="A9" s="6" t="s">
        <v>10</v>
      </c>
      <c r="B9" s="7">
        <f>B6-B7-B8</f>
        <v>104.03413999999997</v>
      </c>
      <c r="C9" s="4">
        <f>'01_Source_Data'!D9</f>
        <v>86.5</v>
      </c>
      <c r="D9" s="7">
        <f t="shared" si="2"/>
        <v>-17.534139999999965</v>
      </c>
      <c r="E9" s="10">
        <f t="shared" si="0"/>
        <v>-0.16854217279058559</v>
      </c>
      <c r="F9" s="6" t="str">
        <f t="shared" si="1"/>
        <v>Unfavourable</v>
      </c>
    </row>
    <row r="10" spans="1:6" x14ac:dyDescent="0.3">
      <c r="A10" s="6" t="s">
        <v>30</v>
      </c>
      <c r="B10" s="8">
        <f>B9/B4</f>
        <v>9.1247131921104119E-2</v>
      </c>
      <c r="C10" s="8">
        <f>C9/C4</f>
        <v>7.852927825692238E-2</v>
      </c>
      <c r="D10" s="8">
        <f>C10-B10</f>
        <v>-1.2717853664181739E-2</v>
      </c>
      <c r="E10" s="4" t="s">
        <v>39</v>
      </c>
      <c r="F10" s="6" t="str">
        <f>IF(D10&gt;0,"Favourable",IF(D10&lt;0,"Unfavourable","On Budget"))</f>
        <v>Unfavourable</v>
      </c>
    </row>
    <row r="14" spans="1:6" ht="32.4" customHeight="1" x14ac:dyDescent="0.3">
      <c r="A14" t="s">
        <v>76</v>
      </c>
    </row>
  </sheetData>
  <conditionalFormatting sqref="F4:F10">
    <cfRule type="containsText" dxfId="1" priority="1" operator="containsText" text="Unfavourable">
      <formula>NOT(ISERROR(SEARCH("Unfavourable",F4)))</formula>
    </cfRule>
    <cfRule type="containsText" dxfId="0" priority="2" operator="containsText" text="Favourable">
      <formula>NOT(ISERROR(SEARCH("Favourable",F4)))</formula>
    </cfRule>
    <cfRule type="iconSet" priority="3">
      <iconSet iconSet="3TrafficLights2">
        <cfvo type="percent" val="0"/>
        <cfvo type="percent" val="33"/>
        <cfvo type="percent" val="67"/>
      </iconSet>
    </cfRule>
  </conditionalFormatting>
  <pageMargins left="0.7" right="0.7" top="0.75" bottom="0.75" header="0.3" footer="0.3"/>
  <ignoredErrors>
    <ignoredError sqref="D5:D7"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1278-1A88-4206-B9C0-729E71162ECE}">
  <dimension ref="A1:G9"/>
  <sheetViews>
    <sheetView zoomScale="71" workbookViewId="0">
      <selection activeCell="Y18" sqref="Y18"/>
    </sheetView>
  </sheetViews>
  <sheetFormatPr defaultRowHeight="14.4" x14ac:dyDescent="0.3"/>
  <cols>
    <col min="1" max="1" width="14.21875" customWidth="1"/>
    <col min="2" max="2" width="11.77734375" customWidth="1"/>
    <col min="3" max="3" width="12.77734375" customWidth="1"/>
    <col min="4" max="4" width="14.21875" customWidth="1"/>
    <col min="5" max="5" width="13.109375" customWidth="1"/>
    <col min="6" max="6" width="12.33203125" customWidth="1"/>
    <col min="7" max="7" width="25.6640625" customWidth="1"/>
  </cols>
  <sheetData>
    <row r="1" spans="1:7" ht="23.4" x14ac:dyDescent="0.45">
      <c r="A1" s="2" t="s">
        <v>40</v>
      </c>
    </row>
    <row r="3" spans="1:7" ht="20.399999999999999" customHeight="1" x14ac:dyDescent="0.3">
      <c r="A3" s="3" t="s">
        <v>1</v>
      </c>
      <c r="B3" s="5" t="s">
        <v>41</v>
      </c>
      <c r="C3" s="5" t="s">
        <v>42</v>
      </c>
      <c r="D3" s="5" t="s">
        <v>36</v>
      </c>
      <c r="E3" s="5" t="s">
        <v>37</v>
      </c>
      <c r="F3" s="3" t="s">
        <v>43</v>
      </c>
      <c r="G3" s="3" t="s">
        <v>44</v>
      </c>
    </row>
    <row r="4" spans="1:7" x14ac:dyDescent="0.3">
      <c r="A4" s="6" t="s">
        <v>5</v>
      </c>
      <c r="B4" s="7">
        <f>'03_Actual_vs_Budget'!B4</f>
        <v>1140.136</v>
      </c>
      <c r="C4" s="7">
        <f>'03_Actual_vs_Budget'!C4</f>
        <v>1101.5</v>
      </c>
      <c r="D4" s="7">
        <f>'03_Actual_vs_Budget'!D4</f>
        <v>-38.635999999999967</v>
      </c>
      <c r="E4" s="11">
        <f>'03_Actual_vs_Budget'!E4</f>
        <v>-3.3887185388409777E-2</v>
      </c>
      <c r="F4" s="4" t="str">
        <f>'03_Actual_vs_Budget'!F4</f>
        <v>Unfavourable</v>
      </c>
      <c r="G4" s="6"/>
    </row>
    <row r="5" spans="1:7" x14ac:dyDescent="0.3">
      <c r="A5" s="6" t="s">
        <v>6</v>
      </c>
      <c r="B5" s="7">
        <f>'03_Actual_vs_Budget'!B5</f>
        <v>438.95236</v>
      </c>
      <c r="C5" s="7">
        <f>'03_Actual_vs_Budget'!C5</f>
        <v>418.4</v>
      </c>
      <c r="D5" s="7">
        <f>'03_Actual_vs_Budget'!D5</f>
        <v>20.552360000000022</v>
      </c>
      <c r="E5" s="10">
        <f>'03_Actual_vs_Budget'!E5</f>
        <v>4.6821390822457412E-2</v>
      </c>
      <c r="F5" s="7" t="str">
        <f>'03_Actual_vs_Budget'!F5</f>
        <v>Favourable</v>
      </c>
      <c r="G5" s="6"/>
    </row>
    <row r="6" spans="1:7" x14ac:dyDescent="0.3">
      <c r="A6" s="6" t="s">
        <v>7</v>
      </c>
      <c r="B6" s="7">
        <f>'03_Actual_vs_Budget'!B6</f>
        <v>701.18363999999997</v>
      </c>
      <c r="C6" s="7">
        <f>'03_Actual_vs_Budget'!C6</f>
        <v>683.1</v>
      </c>
      <c r="D6" s="7">
        <f>'03_Actual_vs_Budget'!D6</f>
        <v>-18.083639999999946</v>
      </c>
      <c r="E6" s="11">
        <f>'03_Actual_vs_Budget'!E6</f>
        <v>-2.5790162474412476E-2</v>
      </c>
      <c r="F6" s="7" t="str">
        <f>'03_Actual_vs_Budget'!F6</f>
        <v>Unfavourable</v>
      </c>
      <c r="G6" s="6"/>
    </row>
    <row r="7" spans="1:7" ht="30.6" customHeight="1" x14ac:dyDescent="0.3">
      <c r="A7" s="6" t="s">
        <v>8</v>
      </c>
      <c r="B7" s="7">
        <f>'03_Actual_vs_Budget'!B7</f>
        <v>544.0575</v>
      </c>
      <c r="C7" s="7">
        <f>'03_Actual_vs_Budget'!C7</f>
        <v>539.9</v>
      </c>
      <c r="D7" s="7">
        <f>'03_Actual_vs_Budget'!D7</f>
        <v>4.1575000000000273</v>
      </c>
      <c r="E7" s="10">
        <f>'03_Actual_vs_Budget'!E7</f>
        <v>7.6416555235430577E-3</v>
      </c>
      <c r="F7" s="7" t="str">
        <f>'03_Actual_vs_Budget'!F7</f>
        <v>Favourable</v>
      </c>
      <c r="G7" s="6"/>
    </row>
    <row r="8" spans="1:7" ht="27.6" customHeight="1" x14ac:dyDescent="0.3">
      <c r="A8" s="6" t="s">
        <v>9</v>
      </c>
      <c r="B8" s="7">
        <f>'03_Actual_vs_Budget'!B8</f>
        <v>53.091999999999999</v>
      </c>
      <c r="C8" s="7">
        <f>'03_Actual_vs_Budget'!C8</f>
        <v>56.7</v>
      </c>
      <c r="D8" s="7">
        <f>'03_Actual_vs_Budget'!D8</f>
        <v>-3.6080000000000041</v>
      </c>
      <c r="E8" s="10">
        <f>'03_Actual_vs_Budget'!E8</f>
        <v>-6.7957507722444133E-2</v>
      </c>
      <c r="F8" s="7" t="str">
        <f>'03_Actual_vs_Budget'!F8</f>
        <v>Unfavourable</v>
      </c>
      <c r="G8" s="6"/>
    </row>
    <row r="9" spans="1:7" ht="21.6" customHeight="1" x14ac:dyDescent="0.3">
      <c r="A9" s="6" t="s">
        <v>10</v>
      </c>
      <c r="B9" s="7">
        <f>'03_Actual_vs_Budget'!B9</f>
        <v>104.03413999999997</v>
      </c>
      <c r="C9" s="7">
        <f>'03_Actual_vs_Budget'!C9</f>
        <v>86.5</v>
      </c>
      <c r="D9" s="7">
        <f>'03_Actual_vs_Budget'!D9</f>
        <v>-17.534139999999965</v>
      </c>
      <c r="E9" s="10">
        <f>'03_Actual_vs_Budget'!E9</f>
        <v>-0.16854217279058559</v>
      </c>
      <c r="F9" s="7" t="str">
        <f>'03_Actual_vs_Budget'!F9</f>
        <v>Unfavourable</v>
      </c>
      <c r="G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C1DF-1E8B-4A8D-A59B-B8AB4A74E4C2}">
  <dimension ref="A1:G24"/>
  <sheetViews>
    <sheetView zoomScale="77" workbookViewId="0">
      <selection activeCell="A25" sqref="A25"/>
    </sheetView>
  </sheetViews>
  <sheetFormatPr defaultRowHeight="14.4" x14ac:dyDescent="0.3"/>
  <cols>
    <col min="1" max="1" width="21.33203125" customWidth="1"/>
    <col min="2" max="2" width="14.5546875" customWidth="1"/>
    <col min="3" max="3" width="13" customWidth="1"/>
    <col min="4" max="4" width="13.109375" customWidth="1"/>
    <col min="5" max="5" width="19.6640625" customWidth="1"/>
    <col min="6" max="6" width="21.44140625" customWidth="1"/>
    <col min="7" max="7" width="20" customWidth="1"/>
  </cols>
  <sheetData>
    <row r="1" spans="1:7" ht="23.4" x14ac:dyDescent="0.45">
      <c r="A1" s="2" t="s">
        <v>45</v>
      </c>
    </row>
    <row r="3" spans="1:7" ht="28.8" x14ac:dyDescent="0.3">
      <c r="A3" s="3" t="s">
        <v>1</v>
      </c>
      <c r="B3" s="5" t="s">
        <v>29</v>
      </c>
      <c r="C3" s="5" t="s">
        <v>4</v>
      </c>
      <c r="D3" s="5" t="s">
        <v>46</v>
      </c>
      <c r="E3" s="5" t="s">
        <v>47</v>
      </c>
      <c r="F3" s="5" t="s">
        <v>48</v>
      </c>
      <c r="G3" s="5" t="s">
        <v>49</v>
      </c>
    </row>
    <row r="4" spans="1:7" x14ac:dyDescent="0.3">
      <c r="A4" s="6" t="s">
        <v>5</v>
      </c>
      <c r="B4" s="7">
        <f>'02_Budget'!D4</f>
        <v>2280.2719999999999</v>
      </c>
      <c r="C4" s="4">
        <f>'03_Actual_vs_Budget'!C4</f>
        <v>1101.5</v>
      </c>
      <c r="D4" s="7">
        <f>C4*(1+$B$17)</f>
        <v>1156.575</v>
      </c>
      <c r="E4" s="7">
        <f>C4+D4</f>
        <v>2258.0749999999998</v>
      </c>
      <c r="F4" s="7">
        <f>E4-B4</f>
        <v>-22.197000000000116</v>
      </c>
      <c r="G4" s="10">
        <f>F4/B4</f>
        <v>-9.7343650231200996E-3</v>
      </c>
    </row>
    <row r="5" spans="1:7" x14ac:dyDescent="0.3">
      <c r="A5" s="6" t="s">
        <v>6</v>
      </c>
      <c r="B5" s="7">
        <f>'02_Budget'!D5</f>
        <v>877.90472</v>
      </c>
      <c r="C5" s="4">
        <f>'03_Actual_vs_Budget'!C5</f>
        <v>418.4</v>
      </c>
      <c r="D5" s="7">
        <f>D4*B18</f>
        <v>439.49850000000004</v>
      </c>
      <c r="E5" s="7">
        <f t="shared" ref="E5:E9" si="0">C5+D5</f>
        <v>857.89850000000001</v>
      </c>
      <c r="F5" s="7">
        <f>B5-E5</f>
        <v>20.006219999999985</v>
      </c>
      <c r="G5" s="10">
        <f t="shared" ref="G5:G9" si="1">F5/B5</f>
        <v>2.2788600567041017E-2</v>
      </c>
    </row>
    <row r="6" spans="1:7" x14ac:dyDescent="0.3">
      <c r="A6" s="6" t="s">
        <v>7</v>
      </c>
      <c r="B6" s="7">
        <f>'02_Budget'!D6</f>
        <v>1402.3672799999999</v>
      </c>
      <c r="C6" s="4">
        <f>'03_Actual_vs_Budget'!C6</f>
        <v>683.1</v>
      </c>
      <c r="D6" s="7">
        <f>D4-D5</f>
        <v>717.07650000000001</v>
      </c>
      <c r="E6" s="7">
        <f t="shared" si="0"/>
        <v>1400.1765</v>
      </c>
      <c r="F6" s="7">
        <f t="shared" ref="F6" si="2">E6-B6</f>
        <v>-2.1907799999999042</v>
      </c>
      <c r="G6" s="10">
        <f t="shared" si="1"/>
        <v>-1.56220130863286E-3</v>
      </c>
    </row>
    <row r="7" spans="1:7" ht="28.8" x14ac:dyDescent="0.3">
      <c r="A7" s="6" t="s">
        <v>8</v>
      </c>
      <c r="B7" s="7">
        <f>'02_Budget'!D7</f>
        <v>1088.115</v>
      </c>
      <c r="C7" s="4">
        <f>'03_Actual_vs_Budget'!C7</f>
        <v>539.9</v>
      </c>
      <c r="D7" s="7">
        <f>C7*(1+$B$19)</f>
        <v>556.09699999999998</v>
      </c>
      <c r="E7" s="7">
        <f t="shared" si="0"/>
        <v>1095.9969999999998</v>
      </c>
      <c r="F7" s="7">
        <f>B7-E7</f>
        <v>-7.8819999999998345</v>
      </c>
      <c r="G7" s="10">
        <f t="shared" si="1"/>
        <v>-7.2437196436036947E-3</v>
      </c>
    </row>
    <row r="8" spans="1:7" x14ac:dyDescent="0.3">
      <c r="A8" s="6" t="s">
        <v>9</v>
      </c>
      <c r="B8" s="7">
        <f>'02_Budget'!D8</f>
        <v>106.184</v>
      </c>
      <c r="C8" s="4">
        <f>'03_Actual_vs_Budget'!C8</f>
        <v>56.7</v>
      </c>
      <c r="D8" s="7">
        <f>C8*(1+$B$20)</f>
        <v>57.834000000000003</v>
      </c>
      <c r="E8" s="7">
        <f t="shared" si="0"/>
        <v>114.53400000000001</v>
      </c>
      <c r="F8" s="7">
        <f>B8-E8</f>
        <v>-8.3500000000000085</v>
      </c>
      <c r="G8" s="10">
        <f t="shared" si="1"/>
        <v>-7.8637082799668578E-2</v>
      </c>
    </row>
    <row r="9" spans="1:7" x14ac:dyDescent="0.3">
      <c r="A9" s="6" t="s">
        <v>10</v>
      </c>
      <c r="B9" s="7">
        <f>'02_Budget'!D9</f>
        <v>208.06827999999993</v>
      </c>
      <c r="C9" s="4">
        <f>'03_Actual_vs_Budget'!C9</f>
        <v>86.5</v>
      </c>
      <c r="D9" s="7">
        <f>D6-D7-D8</f>
        <v>103.14550000000003</v>
      </c>
      <c r="E9" s="7">
        <f t="shared" si="0"/>
        <v>189.64550000000003</v>
      </c>
      <c r="F9" s="7">
        <f>E9-B9</f>
        <v>-18.422779999999904</v>
      </c>
      <c r="G9" s="10">
        <f t="shared" si="1"/>
        <v>-8.854199208067616E-2</v>
      </c>
    </row>
    <row r="10" spans="1:7" x14ac:dyDescent="0.3">
      <c r="A10" s="6" t="s">
        <v>30</v>
      </c>
      <c r="B10" s="8">
        <f>'02_Budget'!D10</f>
        <v>9.1247131921104119E-2</v>
      </c>
      <c r="C10" s="8">
        <f>'03_Actual_vs_Budget'!C10</f>
        <v>7.852927825692238E-2</v>
      </c>
      <c r="D10" s="8">
        <f>D9/D4</f>
        <v>8.918185158766187E-2</v>
      </c>
      <c r="E10" s="8">
        <f>E9/E4</f>
        <v>8.3985474353154801E-2</v>
      </c>
      <c r="F10" s="8">
        <f>E10-B10</f>
        <v>-7.2616575679493173E-3</v>
      </c>
      <c r="G10" s="4" t="s">
        <v>39</v>
      </c>
    </row>
    <row r="15" spans="1:7" x14ac:dyDescent="0.3">
      <c r="A15" s="3"/>
      <c r="B15" s="5"/>
    </row>
    <row r="16" spans="1:7" ht="28.8" x14ac:dyDescent="0.3">
      <c r="A16" s="12" t="s">
        <v>50</v>
      </c>
      <c r="B16" s="5" t="s">
        <v>51</v>
      </c>
    </row>
    <row r="17" spans="1:2" ht="28.8" x14ac:dyDescent="0.3">
      <c r="A17" s="6" t="s">
        <v>52</v>
      </c>
      <c r="B17" s="13">
        <v>0.05</v>
      </c>
    </row>
    <row r="18" spans="1:2" ht="28.8" x14ac:dyDescent="0.3">
      <c r="A18" s="14" t="s">
        <v>53</v>
      </c>
      <c r="B18" s="15">
        <v>0.38</v>
      </c>
    </row>
    <row r="19" spans="1:2" ht="28.8" x14ac:dyDescent="0.3">
      <c r="A19" s="14" t="s">
        <v>54</v>
      </c>
      <c r="B19" s="15">
        <v>0.03</v>
      </c>
    </row>
    <row r="20" spans="1:2" ht="28.8" x14ac:dyDescent="0.3">
      <c r="A20" s="14" t="s">
        <v>55</v>
      </c>
      <c r="B20" s="15">
        <v>0.02</v>
      </c>
    </row>
    <row r="21" spans="1:2" x14ac:dyDescent="0.3">
      <c r="B21" s="15"/>
    </row>
    <row r="22" spans="1:2" x14ac:dyDescent="0.3">
      <c r="B22" s="15"/>
    </row>
    <row r="23" spans="1:2" x14ac:dyDescent="0.3">
      <c r="B23" s="15"/>
    </row>
    <row r="24" spans="1:2" x14ac:dyDescent="0.3">
      <c r="B24" s="15"/>
    </row>
  </sheetData>
  <pageMargins left="0.7" right="0.7" top="0.75" bottom="0.75" header="0.3" footer="0.3"/>
  <pageSetup paperSize="9" orientation="portrait" r:id="rId1"/>
  <ignoredErrors>
    <ignoredError sqref="F5:F6"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9713-FA58-4F7A-B397-453B40835983}">
  <dimension ref="A1:D31"/>
  <sheetViews>
    <sheetView zoomScale="71" zoomScaleNormal="70" workbookViewId="0">
      <selection activeCell="C33" sqref="C33"/>
    </sheetView>
  </sheetViews>
  <sheetFormatPr defaultRowHeight="14.4" x14ac:dyDescent="0.3"/>
  <cols>
    <col min="1" max="1" width="21" customWidth="1"/>
    <col min="2" max="2" width="17.21875" customWidth="1"/>
    <col min="3" max="3" width="14.88671875" customWidth="1"/>
    <col min="4" max="4" width="22.6640625" customWidth="1"/>
  </cols>
  <sheetData>
    <row r="1" spans="1:4" ht="23.4" x14ac:dyDescent="0.45">
      <c r="A1" s="2" t="s">
        <v>56</v>
      </c>
    </row>
    <row r="3" spans="1:4" ht="27.6" customHeight="1" x14ac:dyDescent="0.3">
      <c r="A3" s="3" t="s">
        <v>63</v>
      </c>
      <c r="B3" s="3" t="s">
        <v>64</v>
      </c>
      <c r="C3" s="3" t="s">
        <v>30</v>
      </c>
      <c r="D3" s="3" t="s">
        <v>57</v>
      </c>
    </row>
    <row r="4" spans="1:4" ht="23.4" x14ac:dyDescent="0.3">
      <c r="A4" s="19">
        <f>'05_Forecast'!E4</f>
        <v>2258.0749999999998</v>
      </c>
      <c r="B4" s="19">
        <f>'05_Forecast'!E9</f>
        <v>189.64550000000003</v>
      </c>
      <c r="C4" s="16">
        <f>'05_Forecast'!E10</f>
        <v>8.3985474353154801E-2</v>
      </c>
      <c r="D4" s="17">
        <f>'05_Forecast'!G4</f>
        <v>-9.7343650231200996E-3</v>
      </c>
    </row>
    <row r="7" spans="1:4" ht="28.8" x14ac:dyDescent="0.3">
      <c r="A7" s="3" t="s">
        <v>1</v>
      </c>
      <c r="B7" s="5" t="s">
        <v>58</v>
      </c>
      <c r="C7" s="5" t="s">
        <v>59</v>
      </c>
    </row>
    <row r="8" spans="1:4" x14ac:dyDescent="0.3">
      <c r="A8" s="6" t="s">
        <v>5</v>
      </c>
      <c r="B8" s="7">
        <f>'05_Forecast'!B4</f>
        <v>2280.2719999999999</v>
      </c>
      <c r="C8" s="7">
        <f>'05_Forecast'!E4</f>
        <v>2258.0749999999998</v>
      </c>
    </row>
    <row r="9" spans="1:4" x14ac:dyDescent="0.3">
      <c r="A9" s="6" t="s">
        <v>7</v>
      </c>
      <c r="B9" s="7">
        <f>'05_Forecast'!B6</f>
        <v>1402.3672799999999</v>
      </c>
      <c r="C9" s="7">
        <f>'05_Forecast'!E6</f>
        <v>1400.1765</v>
      </c>
    </row>
    <row r="10" spans="1:4" x14ac:dyDescent="0.3">
      <c r="A10" s="6" t="s">
        <v>10</v>
      </c>
      <c r="B10" s="7">
        <f>'05_Forecast'!B9</f>
        <v>208.06827999999993</v>
      </c>
      <c r="C10" s="7">
        <f>'05_Forecast'!E9</f>
        <v>189.64550000000003</v>
      </c>
    </row>
    <row r="17" spans="1:3" ht="18" x14ac:dyDescent="0.35">
      <c r="A17" s="18" t="s">
        <v>65</v>
      </c>
    </row>
    <row r="19" spans="1:3" x14ac:dyDescent="0.3">
      <c r="A19" s="3" t="s">
        <v>1</v>
      </c>
      <c r="B19" s="5" t="s">
        <v>60</v>
      </c>
      <c r="C19" s="3" t="s">
        <v>38</v>
      </c>
    </row>
    <row r="20" spans="1:3" x14ac:dyDescent="0.3">
      <c r="A20" s="6" t="s">
        <v>5</v>
      </c>
      <c r="B20" s="13">
        <f>'05_Forecast'!G4</f>
        <v>-9.7343650231200996E-3</v>
      </c>
      <c r="C20" s="6" t="str">
        <f>IF(B20&gt;0,"Favourable",IF(B20&lt;0,"Unfavourable","On Budget"))</f>
        <v>Unfavourable</v>
      </c>
    </row>
    <row r="21" spans="1:3" x14ac:dyDescent="0.3">
      <c r="A21" s="6" t="s">
        <v>6</v>
      </c>
      <c r="B21" s="13">
        <f>'05_Forecast'!G5</f>
        <v>2.2788600567041017E-2</v>
      </c>
      <c r="C21" s="6" t="str">
        <f t="shared" ref="C21:C25" si="0">IF(B21&gt;0,"Favourable",IF(B21&lt;0,"Unfavourable","On Budget"))</f>
        <v>Favourable</v>
      </c>
    </row>
    <row r="22" spans="1:3" x14ac:dyDescent="0.3">
      <c r="A22" s="6" t="s">
        <v>7</v>
      </c>
      <c r="B22" s="13">
        <f>'05_Forecast'!G6</f>
        <v>-1.56220130863286E-3</v>
      </c>
      <c r="C22" s="6" t="str">
        <f t="shared" si="0"/>
        <v>Unfavourable</v>
      </c>
    </row>
    <row r="23" spans="1:3" ht="28.8" x14ac:dyDescent="0.3">
      <c r="A23" s="6" t="s">
        <v>8</v>
      </c>
      <c r="B23" s="13">
        <f>'05_Forecast'!G7</f>
        <v>-7.2437196436036947E-3</v>
      </c>
      <c r="C23" s="6" t="str">
        <f t="shared" si="0"/>
        <v>Unfavourable</v>
      </c>
    </row>
    <row r="24" spans="1:3" x14ac:dyDescent="0.3">
      <c r="A24" s="6" t="s">
        <v>9</v>
      </c>
      <c r="B24" s="13">
        <f>'05_Forecast'!G8</f>
        <v>-7.8637082799668578E-2</v>
      </c>
      <c r="C24" s="6" t="str">
        <f t="shared" si="0"/>
        <v>Unfavourable</v>
      </c>
    </row>
    <row r="25" spans="1:3" x14ac:dyDescent="0.3">
      <c r="A25" s="6" t="s">
        <v>10</v>
      </c>
      <c r="B25" s="13">
        <f>'05_Forecast'!G9</f>
        <v>-8.854199208067616E-2</v>
      </c>
      <c r="C25" s="6" t="str">
        <f t="shared" si="0"/>
        <v>Unfavourable</v>
      </c>
    </row>
    <row r="28" spans="1:3" x14ac:dyDescent="0.3">
      <c r="A28" s="3" t="s">
        <v>1</v>
      </c>
      <c r="B28" s="5" t="s">
        <v>61</v>
      </c>
      <c r="C28" s="5" t="s">
        <v>62</v>
      </c>
    </row>
    <row r="29" spans="1:3" x14ac:dyDescent="0.3">
      <c r="A29" s="6" t="s">
        <v>5</v>
      </c>
      <c r="B29" s="7">
        <f>'03_Actual_vs_Budget'!B4</f>
        <v>1140.136</v>
      </c>
      <c r="C29" s="7">
        <f>'03_Actual_vs_Budget'!C4</f>
        <v>1101.5</v>
      </c>
    </row>
    <row r="30" spans="1:3" x14ac:dyDescent="0.3">
      <c r="A30" s="6" t="s">
        <v>7</v>
      </c>
      <c r="B30" s="7">
        <f>'03_Actual_vs_Budget'!B6</f>
        <v>701.18363999999997</v>
      </c>
      <c r="C30" s="7">
        <f>'03_Actual_vs_Budget'!C6</f>
        <v>683.1</v>
      </c>
    </row>
    <row r="31" spans="1:3" x14ac:dyDescent="0.3">
      <c r="A31" s="6" t="s">
        <v>10</v>
      </c>
      <c r="B31" s="7">
        <f>'03_Actual_vs_Budget'!B9</f>
        <v>104.03413999999997</v>
      </c>
      <c r="C31" s="7">
        <f>'03_Actual_vs_Budget'!C9</f>
        <v>86.5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99276-8C92-4571-9651-4C56510CBBE9}">
  <dimension ref="A1:D15"/>
  <sheetViews>
    <sheetView tabSelected="1" zoomScale="63" workbookViewId="0">
      <selection activeCell="A16" sqref="A16"/>
    </sheetView>
  </sheetViews>
  <sheetFormatPr defaultRowHeight="14.4" x14ac:dyDescent="0.3"/>
  <cols>
    <col min="1" max="1" width="97.33203125" style="14" customWidth="1"/>
    <col min="2" max="4" width="8.88671875" style="14"/>
  </cols>
  <sheetData>
    <row r="1" spans="1:1" ht="46.8" x14ac:dyDescent="0.45">
      <c r="A1" s="23" t="s">
        <v>66</v>
      </c>
    </row>
    <row r="3" spans="1:1" ht="18" x14ac:dyDescent="0.35">
      <c r="A3" s="24" t="s">
        <v>67</v>
      </c>
    </row>
    <row r="4" spans="1:1" ht="84.6" customHeight="1" x14ac:dyDescent="0.3">
      <c r="A4" s="21" t="s">
        <v>72</v>
      </c>
    </row>
    <row r="5" spans="1:1" x14ac:dyDescent="0.3">
      <c r="A5" s="25"/>
    </row>
    <row r="6" spans="1:1" ht="18" x14ac:dyDescent="0.35">
      <c r="A6" s="24" t="s">
        <v>68</v>
      </c>
    </row>
    <row r="7" spans="1:1" ht="87" customHeight="1" x14ac:dyDescent="0.3">
      <c r="A7" s="20" t="s">
        <v>71</v>
      </c>
    </row>
    <row r="8" spans="1:1" x14ac:dyDescent="0.3">
      <c r="A8" s="25"/>
    </row>
    <row r="9" spans="1:1" ht="18" x14ac:dyDescent="0.35">
      <c r="A9" s="24" t="s">
        <v>69</v>
      </c>
    </row>
    <row r="10" spans="1:1" ht="85.8" customHeight="1" x14ac:dyDescent="0.3">
      <c r="A10" s="20" t="s">
        <v>73</v>
      </c>
    </row>
    <row r="11" spans="1:1" x14ac:dyDescent="0.3">
      <c r="A11" s="25"/>
    </row>
    <row r="12" spans="1:1" ht="18" x14ac:dyDescent="0.35">
      <c r="A12" s="24" t="s">
        <v>70</v>
      </c>
    </row>
    <row r="13" spans="1:1" ht="88.2" customHeight="1" x14ac:dyDescent="0.3">
      <c r="A13" s="20" t="s">
        <v>74</v>
      </c>
    </row>
    <row r="15" spans="1:1" ht="42.6" customHeight="1" x14ac:dyDescent="0.3">
      <c r="A15" s="22" t="s">
        <v>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01_Source_Data</vt:lpstr>
      <vt:lpstr>02_Budget</vt:lpstr>
      <vt:lpstr>03_Actual_vs_Budget</vt:lpstr>
      <vt:lpstr>04_Variance_Analysis</vt:lpstr>
      <vt:lpstr>05_Forecast</vt:lpstr>
      <vt:lpstr>06_Dashboard</vt:lpstr>
      <vt:lpstr>07_Management_Commentary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Bada</dc:creator>
  <cp:lastModifiedBy>Gabriel Bada</cp:lastModifiedBy>
  <dcterms:created xsi:type="dcterms:W3CDTF">2026-09-10T23:28:30Z</dcterms:created>
  <dcterms:modified xsi:type="dcterms:W3CDTF">2026-09-14T11:31:13Z</dcterms:modified>
</cp:coreProperties>
</file>